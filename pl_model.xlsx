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" sheetId="1" state="visible" r:id="rId1"/>
    <sheet name="入力" sheetId="2" state="visible" r:id="rId2"/>
    <sheet name="月次P&amp;L" sheetId="3" state="visible" r:id="rId3"/>
    <sheet name="損益分岐" sheetId="4" state="visible" r:id="rId4"/>
    <sheet name="在庫シナリ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%"/>
    <numFmt numFmtId="166" formatCode="#,##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808080"/>
    </font>
    <font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3" fontId="0" fillId="3" borderId="1" pivotButton="0" quotePrefix="0" xfId="0"/>
    <xf numFmtId="0" fontId="5" fillId="0" borderId="0" pivotButton="0" quotePrefix="0" xfId="0"/>
    <xf numFmtId="3" fontId="0" fillId="4" borderId="1" pivotButton="0" quotePrefix="0" xfId="0"/>
    <xf numFmtId="164" fontId="0" fillId="4" borderId="1" pivotButton="0" quotePrefix="0" xfId="0"/>
    <xf numFmtId="0" fontId="0" fillId="4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3" fontId="0" fillId="0" borderId="0" pivotButton="0" quotePrefix="0" xfId="0"/>
    <xf numFmtId="166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82" customWidth="1" min="2" max="2"/>
  </cols>
  <sheetData>
    <row r="1">
      <c r="A1" s="1" t="inlineStr">
        <is>
          <t>前提</t>
        </is>
      </c>
    </row>
    <row r="3">
      <c r="A3" s="2" t="inlineStr">
        <is>
          <t>■ この資料の性格</t>
        </is>
      </c>
      <c r="B3" s="3" t="n"/>
    </row>
    <row r="4">
      <c r="A4" s="4" t="n"/>
      <c r="B4" s="3" t="inlineStr">
        <is>
          <t>金額はすべて未入力。埋めるまで損益はゼロのまま出ます。こちらで単価や人件費を推測して置くことはしていません。</t>
        </is>
      </c>
    </row>
    <row r="5">
      <c r="A5" s="4" t="n"/>
      <c r="B5" s="3" t="n"/>
    </row>
    <row r="6">
      <c r="A6" s="2" t="inlineStr">
        <is>
          <t>■ 検証済みの数字（確定）</t>
        </is>
      </c>
      <c r="B6" s="3" t="n"/>
    </row>
    <row r="7">
      <c r="A7" s="4" t="inlineStr">
        <is>
          <t>対象リスト 1,308件</t>
        </is>
      </c>
      <c r="B7" s="3" t="inlineStr">
        <is>
          <t>民間(営利法人)×都内1事業所×独立系×全国1事業所。元データと照合済み</t>
        </is>
      </c>
    </row>
    <row r="8">
      <c r="A8" s="4" t="inlineStr">
        <is>
          <t>東京都 全2,893件</t>
        </is>
      </c>
      <c r="B8" s="3" t="inlineStr">
        <is>
          <t>うち1法人1事業所が1,910件（法人番号で名寄せ）</t>
        </is>
      </c>
    </row>
    <row r="9">
      <c r="A9" s="4" t="inlineStr">
        <is>
          <t>全国 36,212件</t>
        </is>
      </c>
      <c r="B9" s="3" t="inlineStr">
        <is>
          <t>全行が サービスの種類=居宅介護支援</t>
        </is>
      </c>
    </row>
    <row r="10">
      <c r="A10" s="4" t="inlineStr">
        <is>
          <t>電話番号</t>
        </is>
      </c>
      <c r="B10" s="3" t="inlineStr">
        <is>
          <t>全件が元データと一致。欠損ゼロ</t>
        </is>
      </c>
    </row>
    <row r="11">
      <c r="A11" s="4" t="n"/>
      <c r="B11" s="3" t="n"/>
    </row>
    <row r="12">
      <c r="A12" s="2" t="inlineStr">
        <is>
          <t>■ 仮置きの数字（実測で置き換える）</t>
        </is>
      </c>
      <c r="B12" s="3" t="n"/>
    </row>
    <row r="13">
      <c r="A13" s="4" t="inlineStr">
        <is>
          <t>ファネル4率</t>
        </is>
      </c>
      <c r="B13" s="3" t="inlineStr">
        <is>
          <t>無効3% / アポ3% / 商談80% / 受注20%。評価基準シートの目標値であり、業界の実績値ではない</t>
        </is>
      </c>
    </row>
    <row r="14">
      <c r="A14" s="4" t="inlineStr">
        <is>
          <t>1人1日50件</t>
        </is>
      </c>
      <c r="B14" s="3" t="inlineStr">
        <is>
          <t>架電の所要時間を測っていないため仮。実測が出たら入力シートを更新する</t>
        </is>
      </c>
    </row>
    <row r="15">
      <c r="A15" s="4" t="n"/>
      <c r="B15" s="3" t="n"/>
    </row>
    <row r="16">
      <c r="A16" s="2" t="inlineStr">
        <is>
          <t>■ このモデルが示す構造的な論点</t>
        </is>
      </c>
      <c r="B16" s="3" t="n"/>
    </row>
    <row r="17">
      <c r="A17" s="4" t="inlineStr">
        <is>
          <t>リストは有限</t>
        </is>
      </c>
      <c r="B17" s="3" t="inlineStr">
        <is>
          <t>流入経路がゼロなので、売上の上限はリスト件数で決まる。現行1,308件は3人×50件/日で約9営業日で尽きる</t>
        </is>
      </c>
    </row>
    <row r="18">
      <c r="A18" s="4" t="inlineStr">
        <is>
          <t>売上が人数に比例する</t>
        </is>
      </c>
      <c r="B18" s="3" t="inlineStr">
        <is>
          <t>架電だけだと、売上を伸ばす手段が人を増やすことしかない。利益率が構造的に上がらない</t>
        </is>
      </c>
    </row>
    <row r="19">
      <c r="A19" s="4" t="inlineStr">
        <is>
          <t>枯渇後もコストは出る</t>
        </is>
      </c>
      <c r="B19" s="3" t="inlineStr">
        <is>
          <t>架電が止まっても人件費は消えない。既定では枯渇後も固定費を計上する。月次P&amp;Lで赤字が続くのはその表現</t>
        </is>
      </c>
    </row>
    <row r="20">
      <c r="A20" s="4" t="inlineStr">
        <is>
          <t>在庫を広げるか、経路を作るか</t>
        </is>
      </c>
      <c r="B20" s="3" t="inlineStr">
        <is>
          <t>全国に広げれば約12ヶ月分。その間にSNS・Webの流入を立ち上げるかどうかが分岐点</t>
        </is>
      </c>
    </row>
    <row r="21">
      <c r="A21" s="4" t="n"/>
      <c r="B21" s="3" t="n"/>
    </row>
    <row r="22">
      <c r="A22" s="2" t="inlineStr">
        <is>
          <t>■ 使い方</t>
        </is>
      </c>
      <c r="B22" s="3" t="n"/>
    </row>
    <row r="23">
      <c r="A23" s="4" t="inlineStr">
        <is>
          <t>1</t>
        </is>
      </c>
      <c r="B23" s="3" t="inlineStr">
        <is>
          <t>入力シートの黄色いセルを埋める</t>
        </is>
      </c>
    </row>
    <row r="24">
      <c r="A24" s="4" t="inlineStr">
        <is>
          <t>2</t>
        </is>
      </c>
      <c r="B24" s="3" t="inlineStr">
        <is>
          <t>損益分岐シートの上の表で、必要な単価が今の価格で届くか見る</t>
        </is>
      </c>
    </row>
    <row r="25">
      <c r="A25" s="4" t="inlineStr">
        <is>
          <t>3</t>
        </is>
      </c>
      <c r="B25" s="3" t="inlineStr">
        <is>
          <t>月次P&amp;Lで、何ヶ月目に累計黒字になるか確認する</t>
        </is>
      </c>
    </row>
    <row r="26">
      <c r="A26" s="4" t="inlineStr">
        <is>
          <t>4</t>
        </is>
      </c>
      <c r="B26" s="3" t="inlineStr">
        <is>
          <t>在庫シナリオで、どこまでリストを広げるか決める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8" customWidth="1" min="3" max="3"/>
    <col width="46" customWidth="1" min="4" max="4"/>
  </cols>
  <sheetData>
    <row r="1">
      <c r="A1" s="1" t="inlineStr">
        <is>
          <t>入力</t>
        </is>
      </c>
    </row>
    <row r="2">
      <c r="A2" s="5" t="inlineStr">
        <is>
          <t>黄色のセルを埋めてください。緑は検証済みの確定値です。</t>
        </is>
      </c>
    </row>
    <row r="3">
      <c r="A3" s="2" t="inlineStr">
        <is>
          <t>数量</t>
        </is>
      </c>
      <c r="B3" s="6" t="n"/>
      <c r="C3" s="6" t="n"/>
      <c r="D3" s="6" t="n"/>
    </row>
    <row r="4">
      <c r="A4" s="4" t="inlineStr">
        <is>
          <t>対象リスト件数</t>
        </is>
      </c>
      <c r="B4" s="7" t="n">
        <v>1308</v>
      </c>
      <c r="C4" t="inlineStr">
        <is>
          <t>件</t>
        </is>
      </c>
      <c r="D4" s="8" t="inlineStr">
        <is>
          <t>確定。tokyo_minkan_1jigyosho.csv の行数</t>
        </is>
      </c>
    </row>
    <row r="5">
      <c r="A5" s="4" t="inlineStr">
        <is>
          <t>稼働人数</t>
        </is>
      </c>
      <c r="B5" s="7" t="n">
        <v>3</v>
      </c>
      <c r="C5" t="inlineStr">
        <is>
          <t>人</t>
        </is>
      </c>
      <c r="D5" s="8" t="inlineStr">
        <is>
          <t>しょうちゃん・さくや・廣澤</t>
        </is>
      </c>
    </row>
    <row r="6">
      <c r="A6" s="4" t="inlineStr">
        <is>
          <t>1人1日あたり架電数</t>
        </is>
      </c>
      <c r="B6" s="9" t="n">
        <v>50</v>
      </c>
      <c r="C6" t="inlineStr">
        <is>
          <t>件</t>
        </is>
      </c>
      <c r="D6" s="8" t="inlineStr">
        <is>
          <t>実測が出たら置き換える</t>
        </is>
      </c>
    </row>
    <row r="7">
      <c r="A7" s="4" t="inlineStr">
        <is>
          <t>月間稼働日数</t>
        </is>
      </c>
      <c r="B7" s="9" t="n">
        <v>20</v>
      </c>
      <c r="C7" t="inlineStr">
        <is>
          <t>日</t>
        </is>
      </c>
      <c r="D7" s="8" t="inlineStr"/>
    </row>
    <row r="8">
      <c r="A8" s="4" t="inlineStr">
        <is>
          <t>無効リード率</t>
        </is>
      </c>
      <c r="B8" s="10" t="n">
        <v>0.03</v>
      </c>
      <c r="C8" t="inlineStr">
        <is>
          <t>率</t>
        </is>
      </c>
      <c r="D8" s="8" t="inlineStr">
        <is>
          <t>番号違い・対象外。評価基準の目標値（仮）</t>
        </is>
      </c>
    </row>
    <row r="9">
      <c r="A9" s="4" t="inlineStr">
        <is>
          <t>アポ率(有効架電比)</t>
        </is>
      </c>
      <c r="B9" s="10" t="n">
        <v>0.03</v>
      </c>
      <c r="C9" t="inlineStr">
        <is>
          <t>率</t>
        </is>
      </c>
      <c r="D9" s="8" t="inlineStr">
        <is>
          <t>評価基準の目標値（仮）</t>
        </is>
      </c>
    </row>
    <row r="10">
      <c r="A10" s="4" t="inlineStr">
        <is>
          <t>商談実施率</t>
        </is>
      </c>
      <c r="B10" s="10" t="n">
        <v>0.8</v>
      </c>
      <c r="C10" t="inlineStr">
        <is>
          <t>率</t>
        </is>
      </c>
      <c r="D10" s="8" t="inlineStr">
        <is>
          <t>評価基準の目標値（仮）</t>
        </is>
      </c>
    </row>
    <row r="11">
      <c r="A11" s="4" t="inlineStr">
        <is>
          <t>受注率(商談比)</t>
        </is>
      </c>
      <c r="B11" s="10" t="n">
        <v>0.2</v>
      </c>
      <c r="C11" t="inlineStr">
        <is>
          <t>率</t>
        </is>
      </c>
      <c r="D11" s="8" t="inlineStr">
        <is>
          <t>評価基準の目標値（仮）</t>
        </is>
      </c>
    </row>
    <row r="13">
      <c r="A13" s="2" t="inlineStr">
        <is>
          <t>金額（未入力）</t>
        </is>
      </c>
      <c r="B13" s="6" t="n"/>
      <c r="C13" s="6" t="n"/>
      <c r="D13" s="6" t="n"/>
    </row>
    <row r="15">
      <c r="A15" s="4" t="inlineStr">
        <is>
          <t>初回単価</t>
        </is>
      </c>
      <c r="B15" s="9" t="n"/>
      <c r="C15" t="inlineStr">
        <is>
          <t>円</t>
        </is>
      </c>
      <c r="D15" s="8" t="inlineStr">
        <is>
          <t>1件受注したときの初回売上</t>
        </is>
      </c>
    </row>
    <row r="16">
      <c r="A16" s="4" t="inlineStr">
        <is>
          <t>月額継続課金</t>
        </is>
      </c>
      <c r="B16" s="9" t="n"/>
      <c r="C16" t="inlineStr">
        <is>
          <t>円/月</t>
        </is>
      </c>
      <c r="D16" s="8" t="inlineStr">
        <is>
          <t>無ければ0</t>
        </is>
      </c>
    </row>
    <row r="17">
      <c r="A17" s="4" t="inlineStr">
        <is>
          <t>平均継続月数</t>
        </is>
      </c>
      <c r="B17" s="9" t="n"/>
      <c r="C17" t="inlineStr">
        <is>
          <t>ヶ月</t>
        </is>
      </c>
      <c r="D17" s="8" t="inlineStr">
        <is>
          <t>月額課金がある場合。無ければ0</t>
        </is>
      </c>
    </row>
    <row r="18">
      <c r="A18" s="4" t="inlineStr">
        <is>
          <t>変動費率</t>
        </is>
      </c>
      <c r="B18" s="10" t="n"/>
      <c r="C18" t="inlineStr">
        <is>
          <t>率</t>
        </is>
      </c>
      <c r="D18" s="8" t="inlineStr">
        <is>
          <t>原価・外注費の売上に対する比率</t>
        </is>
      </c>
    </row>
    <row r="19">
      <c r="A19" s="4" t="inlineStr">
        <is>
          <t>人件費(1人あたり月)</t>
        </is>
      </c>
      <c r="B19" s="9" t="n"/>
      <c r="C19" t="inlineStr">
        <is>
          <t>円</t>
        </is>
      </c>
      <c r="D19" s="8" t="inlineStr">
        <is>
          <t>3人分は自動で掛ける</t>
        </is>
      </c>
    </row>
    <row r="20">
      <c r="A20" s="4" t="inlineStr">
        <is>
          <t>通信・ツール費(月)</t>
        </is>
      </c>
      <c r="B20" s="9" t="n"/>
      <c r="C20" t="inlineStr">
        <is>
          <t>円</t>
        </is>
      </c>
      <c r="D20" s="8" t="inlineStr">
        <is>
          <t>電話・CRM等</t>
        </is>
      </c>
    </row>
    <row r="21">
      <c r="A21" s="4" t="inlineStr">
        <is>
          <t>その他固定費(月)</t>
        </is>
      </c>
      <c r="B21" s="9" t="n"/>
      <c r="C21" t="inlineStr">
        <is>
          <t>円</t>
        </is>
      </c>
      <c r="D21" s="8" t="inlineStr">
        <is>
          <t>家賃・雑費など</t>
        </is>
      </c>
    </row>
    <row r="22">
      <c r="A22" s="4" t="inlineStr">
        <is>
          <t>リスト枯渇後の固定費</t>
        </is>
      </c>
      <c r="B22" s="11" t="inlineStr">
        <is>
          <t>計上する</t>
        </is>
      </c>
      <c r="C22" t="inlineStr">
        <is>
          <t>選択</t>
        </is>
      </c>
      <c r="D22" s="8" t="inlineStr">
        <is>
          <t>人員を維持するなら「計上する」。架電が止まっても人件費は消えない</t>
        </is>
      </c>
    </row>
    <row r="23">
      <c r="A23" s="2" t="inlineStr">
        <is>
          <t>自動計算</t>
        </is>
      </c>
      <c r="B23" s="6" t="n"/>
      <c r="C23" s="6" t="n"/>
      <c r="D23" s="6" t="n"/>
    </row>
    <row r="24">
      <c r="A24" s="4" t="inlineStr">
        <is>
          <t>月間架電キャパ</t>
        </is>
      </c>
      <c r="B24" s="12">
        <f>入力!$B$5*入力!$B$6*入力!$B$7</f>
        <v/>
      </c>
      <c r="C24" t="inlineStr">
        <is>
          <t>本/月</t>
        </is>
      </c>
      <c r="D24" s="8" t="inlineStr">
        <is>
          <t>3人が1ヶ月にかけられる本数</t>
        </is>
      </c>
    </row>
    <row r="25">
      <c r="A25" s="4" t="inlineStr">
        <is>
          <t>架電→受注の転換率</t>
        </is>
      </c>
      <c r="B25" s="13">
        <f>(1-入力!$B$8)*入力!$B$9*入力!$B$10*入力!$B$11</f>
        <v/>
      </c>
      <c r="C25" t="inlineStr">
        <is>
          <t>率</t>
        </is>
      </c>
      <c r="D25" s="8" t="inlineStr">
        <is>
          <t>架電1本が受注になる確率</t>
        </is>
      </c>
    </row>
    <row r="26">
      <c r="A26" s="4" t="inlineStr">
        <is>
          <t>1受注あたり必要架電数</t>
        </is>
      </c>
      <c r="B26" s="12">
        <f>IFERROR(1/B24,"")</f>
        <v/>
      </c>
      <c r="C26" t="inlineStr">
        <is>
          <t>本</t>
        </is>
      </c>
      <c r="D26" s="8" t="inlineStr"/>
    </row>
    <row r="27">
      <c r="A27" s="4" t="inlineStr">
        <is>
          <t>月間固定費計</t>
        </is>
      </c>
      <c r="B27" s="12">
        <f>入力!$B$19*入力!$B$5+入力!$B$20+入力!$B$21</f>
        <v/>
      </c>
      <c r="C27" t="inlineStr">
        <is>
          <t>円/月</t>
        </is>
      </c>
      <c r="D27" s="8" t="inlineStr">
        <is>
          <t>金額を入れると出ます</t>
        </is>
      </c>
    </row>
  </sheetData>
  <dataValidations count="1">
    <dataValidation sqref="B22" showDropDown="0" showInputMessage="0" showErrorMessage="0" allowBlank="0" type="list">
      <formula1>"計上する,計上しない"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月次P&amp;L</t>
        </is>
      </c>
    </row>
    <row r="2">
      <c r="A2" s="5" t="inlineStr">
        <is>
          <t>リストが尽きると架電数が自動で頭打ちになります。枯渇後も人員を維持する前提なら固定費は計上され続けます（入力シートで切り替え）。</t>
        </is>
      </c>
    </row>
    <row r="3">
      <c r="A3" s="14" t="inlineStr">
        <is>
          <t>月</t>
        </is>
      </c>
      <c r="B3" s="14" t="inlineStr">
        <is>
          <t>期首残リスト</t>
        </is>
      </c>
      <c r="C3" s="14" t="inlineStr">
        <is>
          <t>架電数</t>
        </is>
      </c>
      <c r="D3" s="14" t="inlineStr">
        <is>
          <t>有効架電</t>
        </is>
      </c>
      <c r="E3" s="14" t="inlineStr">
        <is>
          <t>アポ</t>
        </is>
      </c>
      <c r="F3" s="14" t="inlineStr">
        <is>
          <t>商談</t>
        </is>
      </c>
      <c r="G3" s="14" t="inlineStr">
        <is>
          <t>受注</t>
        </is>
      </c>
      <c r="H3" s="14" t="inlineStr">
        <is>
          <t>期末残リスト</t>
        </is>
      </c>
      <c r="I3" s="14" t="inlineStr">
        <is>
          <t>新規売上</t>
        </is>
      </c>
      <c r="J3" s="14" t="inlineStr">
        <is>
          <t>継続売上</t>
        </is>
      </c>
      <c r="K3" s="14" t="inlineStr">
        <is>
          <t>売上計</t>
        </is>
      </c>
      <c r="L3" s="14" t="inlineStr">
        <is>
          <t>変動費</t>
        </is>
      </c>
      <c r="M3" s="14" t="inlineStr">
        <is>
          <t>粗利</t>
        </is>
      </c>
      <c r="N3" s="14" t="inlineStr">
        <is>
          <t>固定費</t>
        </is>
      </c>
      <c r="O3" s="14" t="inlineStr">
        <is>
          <t>営業利益</t>
        </is>
      </c>
      <c r="P3" s="14" t="inlineStr">
        <is>
          <t>累計営業利益</t>
        </is>
      </c>
    </row>
    <row r="4">
      <c r="A4" t="n">
        <v>1</v>
      </c>
      <c r="B4" s="12">
        <f>IF(A4=1,入力!$B$4,H3)</f>
        <v/>
      </c>
      <c r="C4" s="12">
        <f>MIN(入力!$B$24,B4)</f>
        <v/>
      </c>
      <c r="D4" s="12">
        <f>C4*(1-入力!$B$8)</f>
        <v/>
      </c>
      <c r="E4" s="12">
        <f>D4*入力!$B$9</f>
        <v/>
      </c>
      <c r="F4" s="12">
        <f>E4*入力!$B$10</f>
        <v/>
      </c>
      <c r="G4" s="12">
        <f>F4*入力!$B$11</f>
        <v/>
      </c>
      <c r="H4" s="12">
        <f>B4-C4</f>
        <v/>
      </c>
      <c r="I4" s="12">
        <f>G4*入力!$B$15</f>
        <v/>
      </c>
      <c r="J4" s="12">
        <f>SUMIFS($G$4:$G$15,$A$4:$A$15,"&gt;="&amp;A4-入力!$B$17+1,$A$4:$A$15,"&lt;="&amp;A4)*入力!$B$16</f>
        <v/>
      </c>
      <c r="K4" s="12">
        <f>I4+J4</f>
        <v/>
      </c>
      <c r="L4" s="12">
        <f>K4*入力!$B$18</f>
        <v/>
      </c>
      <c r="M4" s="12">
        <f>K4-L4</f>
        <v/>
      </c>
      <c r="N4" s="12">
        <f>IF(OR(入力!$B$22="計上する",C4&gt;0),入力!$B$27,0)</f>
        <v/>
      </c>
      <c r="O4" s="12">
        <f>M4-N4</f>
        <v/>
      </c>
      <c r="P4" s="12">
        <f>IF(A4=1,O4,P3+O4)</f>
        <v/>
      </c>
    </row>
    <row r="5">
      <c r="A5" t="n">
        <v>2</v>
      </c>
      <c r="B5" s="12">
        <f>IF(A5=1,入力!$B$4,H4)</f>
        <v/>
      </c>
      <c r="C5" s="12">
        <f>MIN(入力!$B$24,B5)</f>
        <v/>
      </c>
      <c r="D5" s="12">
        <f>C5*(1-入力!$B$8)</f>
        <v/>
      </c>
      <c r="E5" s="12">
        <f>D5*入力!$B$9</f>
        <v/>
      </c>
      <c r="F5" s="12">
        <f>E5*入力!$B$10</f>
        <v/>
      </c>
      <c r="G5" s="12">
        <f>F5*入力!$B$11</f>
        <v/>
      </c>
      <c r="H5" s="12">
        <f>B5-C5</f>
        <v/>
      </c>
      <c r="I5" s="12">
        <f>G5*入力!$B$15</f>
        <v/>
      </c>
      <c r="J5" s="12">
        <f>SUMIFS($G$4:$G$15,$A$4:$A$15,"&gt;="&amp;A5-入力!$B$17+1,$A$4:$A$15,"&lt;="&amp;A5)*入力!$B$16</f>
        <v/>
      </c>
      <c r="K5" s="12">
        <f>I5+J5</f>
        <v/>
      </c>
      <c r="L5" s="12">
        <f>K5*入力!$B$18</f>
        <v/>
      </c>
      <c r="M5" s="12">
        <f>K5-L5</f>
        <v/>
      </c>
      <c r="N5" s="12">
        <f>IF(OR(入力!$B$22="計上する",C5&gt;0),入力!$B$27,0)</f>
        <v/>
      </c>
      <c r="O5" s="12">
        <f>M5-N5</f>
        <v/>
      </c>
      <c r="P5" s="12">
        <f>IF(A5=1,O5,P4+O5)</f>
        <v/>
      </c>
    </row>
    <row r="6">
      <c r="A6" t="n">
        <v>3</v>
      </c>
      <c r="B6" s="12">
        <f>IF(A6=1,入力!$B$4,H5)</f>
        <v/>
      </c>
      <c r="C6" s="12">
        <f>MIN(入力!$B$24,B6)</f>
        <v/>
      </c>
      <c r="D6" s="12">
        <f>C6*(1-入力!$B$8)</f>
        <v/>
      </c>
      <c r="E6" s="12">
        <f>D6*入力!$B$9</f>
        <v/>
      </c>
      <c r="F6" s="12">
        <f>E6*入力!$B$10</f>
        <v/>
      </c>
      <c r="G6" s="12">
        <f>F6*入力!$B$11</f>
        <v/>
      </c>
      <c r="H6" s="12">
        <f>B6-C6</f>
        <v/>
      </c>
      <c r="I6" s="12">
        <f>G6*入力!$B$15</f>
        <v/>
      </c>
      <c r="J6" s="12">
        <f>SUMIFS($G$4:$G$15,$A$4:$A$15,"&gt;="&amp;A6-入力!$B$17+1,$A$4:$A$15,"&lt;="&amp;A6)*入力!$B$16</f>
        <v/>
      </c>
      <c r="K6" s="12">
        <f>I6+J6</f>
        <v/>
      </c>
      <c r="L6" s="12">
        <f>K6*入力!$B$18</f>
        <v/>
      </c>
      <c r="M6" s="12">
        <f>K6-L6</f>
        <v/>
      </c>
      <c r="N6" s="12">
        <f>IF(OR(入力!$B$22="計上する",C6&gt;0),入力!$B$27,0)</f>
        <v/>
      </c>
      <c r="O6" s="12">
        <f>M6-N6</f>
        <v/>
      </c>
      <c r="P6" s="12">
        <f>IF(A6=1,O6,P5+O6)</f>
        <v/>
      </c>
    </row>
    <row r="7">
      <c r="A7" t="n">
        <v>4</v>
      </c>
      <c r="B7" s="12">
        <f>IF(A7=1,入力!$B$4,H6)</f>
        <v/>
      </c>
      <c r="C7" s="12">
        <f>MIN(入力!$B$24,B7)</f>
        <v/>
      </c>
      <c r="D7" s="12">
        <f>C7*(1-入力!$B$8)</f>
        <v/>
      </c>
      <c r="E7" s="12">
        <f>D7*入力!$B$9</f>
        <v/>
      </c>
      <c r="F7" s="12">
        <f>E7*入力!$B$10</f>
        <v/>
      </c>
      <c r="G7" s="12">
        <f>F7*入力!$B$11</f>
        <v/>
      </c>
      <c r="H7" s="12">
        <f>B7-C7</f>
        <v/>
      </c>
      <c r="I7" s="12">
        <f>G7*入力!$B$15</f>
        <v/>
      </c>
      <c r="J7" s="12">
        <f>SUMIFS($G$4:$G$15,$A$4:$A$15,"&gt;="&amp;A7-入力!$B$17+1,$A$4:$A$15,"&lt;="&amp;A7)*入力!$B$16</f>
        <v/>
      </c>
      <c r="K7" s="12">
        <f>I7+J7</f>
        <v/>
      </c>
      <c r="L7" s="12">
        <f>K7*入力!$B$18</f>
        <v/>
      </c>
      <c r="M7" s="12">
        <f>K7-L7</f>
        <v/>
      </c>
      <c r="N7" s="12">
        <f>IF(OR(入力!$B$22="計上する",C7&gt;0),入力!$B$27,0)</f>
        <v/>
      </c>
      <c r="O7" s="12">
        <f>M7-N7</f>
        <v/>
      </c>
      <c r="P7" s="12">
        <f>IF(A7=1,O7,P6+O7)</f>
        <v/>
      </c>
    </row>
    <row r="8">
      <c r="A8" t="n">
        <v>5</v>
      </c>
      <c r="B8" s="12">
        <f>IF(A8=1,入力!$B$4,H7)</f>
        <v/>
      </c>
      <c r="C8" s="12">
        <f>MIN(入力!$B$24,B8)</f>
        <v/>
      </c>
      <c r="D8" s="12">
        <f>C8*(1-入力!$B$8)</f>
        <v/>
      </c>
      <c r="E8" s="12">
        <f>D8*入力!$B$9</f>
        <v/>
      </c>
      <c r="F8" s="12">
        <f>E8*入力!$B$10</f>
        <v/>
      </c>
      <c r="G8" s="12">
        <f>F8*入力!$B$11</f>
        <v/>
      </c>
      <c r="H8" s="12">
        <f>B8-C8</f>
        <v/>
      </c>
      <c r="I8" s="12">
        <f>G8*入力!$B$15</f>
        <v/>
      </c>
      <c r="J8" s="12">
        <f>SUMIFS($G$4:$G$15,$A$4:$A$15,"&gt;="&amp;A8-入力!$B$17+1,$A$4:$A$15,"&lt;="&amp;A8)*入力!$B$16</f>
        <v/>
      </c>
      <c r="K8" s="12">
        <f>I8+J8</f>
        <v/>
      </c>
      <c r="L8" s="12">
        <f>K8*入力!$B$18</f>
        <v/>
      </c>
      <c r="M8" s="12">
        <f>K8-L8</f>
        <v/>
      </c>
      <c r="N8" s="12">
        <f>IF(OR(入力!$B$22="計上する",C8&gt;0),入力!$B$27,0)</f>
        <v/>
      </c>
      <c r="O8" s="12">
        <f>M8-N8</f>
        <v/>
      </c>
      <c r="P8" s="12">
        <f>IF(A8=1,O8,P7+O8)</f>
        <v/>
      </c>
    </row>
    <row r="9">
      <c r="A9" t="n">
        <v>6</v>
      </c>
      <c r="B9" s="12">
        <f>IF(A9=1,入力!$B$4,H8)</f>
        <v/>
      </c>
      <c r="C9" s="12">
        <f>MIN(入力!$B$24,B9)</f>
        <v/>
      </c>
      <c r="D9" s="12">
        <f>C9*(1-入力!$B$8)</f>
        <v/>
      </c>
      <c r="E9" s="12">
        <f>D9*入力!$B$9</f>
        <v/>
      </c>
      <c r="F9" s="12">
        <f>E9*入力!$B$10</f>
        <v/>
      </c>
      <c r="G9" s="12">
        <f>F9*入力!$B$11</f>
        <v/>
      </c>
      <c r="H9" s="12">
        <f>B9-C9</f>
        <v/>
      </c>
      <c r="I9" s="12">
        <f>G9*入力!$B$15</f>
        <v/>
      </c>
      <c r="J9" s="12">
        <f>SUMIFS($G$4:$G$15,$A$4:$A$15,"&gt;="&amp;A9-入力!$B$17+1,$A$4:$A$15,"&lt;="&amp;A9)*入力!$B$16</f>
        <v/>
      </c>
      <c r="K9" s="12">
        <f>I9+J9</f>
        <v/>
      </c>
      <c r="L9" s="12">
        <f>K9*入力!$B$18</f>
        <v/>
      </c>
      <c r="M9" s="12">
        <f>K9-L9</f>
        <v/>
      </c>
      <c r="N9" s="12">
        <f>IF(OR(入力!$B$22="計上する",C9&gt;0),入力!$B$27,0)</f>
        <v/>
      </c>
      <c r="O9" s="12">
        <f>M9-N9</f>
        <v/>
      </c>
      <c r="P9" s="12">
        <f>IF(A9=1,O9,P8+O9)</f>
        <v/>
      </c>
    </row>
    <row r="10">
      <c r="A10" t="n">
        <v>7</v>
      </c>
      <c r="B10" s="12">
        <f>IF(A10=1,入力!$B$4,H9)</f>
        <v/>
      </c>
      <c r="C10" s="12">
        <f>MIN(入力!$B$24,B10)</f>
        <v/>
      </c>
      <c r="D10" s="12">
        <f>C10*(1-入力!$B$8)</f>
        <v/>
      </c>
      <c r="E10" s="12">
        <f>D10*入力!$B$9</f>
        <v/>
      </c>
      <c r="F10" s="12">
        <f>E10*入力!$B$10</f>
        <v/>
      </c>
      <c r="G10" s="12">
        <f>F10*入力!$B$11</f>
        <v/>
      </c>
      <c r="H10" s="12">
        <f>B10-C10</f>
        <v/>
      </c>
      <c r="I10" s="12">
        <f>G10*入力!$B$15</f>
        <v/>
      </c>
      <c r="J10" s="12">
        <f>SUMIFS($G$4:$G$15,$A$4:$A$15,"&gt;="&amp;A10-入力!$B$17+1,$A$4:$A$15,"&lt;="&amp;A10)*入力!$B$16</f>
        <v/>
      </c>
      <c r="K10" s="12">
        <f>I10+J10</f>
        <v/>
      </c>
      <c r="L10" s="12">
        <f>K10*入力!$B$18</f>
        <v/>
      </c>
      <c r="M10" s="12">
        <f>K10-L10</f>
        <v/>
      </c>
      <c r="N10" s="12">
        <f>IF(OR(入力!$B$22="計上する",C10&gt;0),入力!$B$27,0)</f>
        <v/>
      </c>
      <c r="O10" s="12">
        <f>M10-N10</f>
        <v/>
      </c>
      <c r="P10" s="12">
        <f>IF(A10=1,O10,P9+O10)</f>
        <v/>
      </c>
    </row>
    <row r="11">
      <c r="A11" t="n">
        <v>8</v>
      </c>
      <c r="B11" s="12">
        <f>IF(A11=1,入力!$B$4,H10)</f>
        <v/>
      </c>
      <c r="C11" s="12">
        <f>MIN(入力!$B$24,B11)</f>
        <v/>
      </c>
      <c r="D11" s="12">
        <f>C11*(1-入力!$B$8)</f>
        <v/>
      </c>
      <c r="E11" s="12">
        <f>D11*入力!$B$9</f>
        <v/>
      </c>
      <c r="F11" s="12">
        <f>E11*入力!$B$10</f>
        <v/>
      </c>
      <c r="G11" s="12">
        <f>F11*入力!$B$11</f>
        <v/>
      </c>
      <c r="H11" s="12">
        <f>B11-C11</f>
        <v/>
      </c>
      <c r="I11" s="12">
        <f>G11*入力!$B$15</f>
        <v/>
      </c>
      <c r="J11" s="12">
        <f>SUMIFS($G$4:$G$15,$A$4:$A$15,"&gt;="&amp;A11-入力!$B$17+1,$A$4:$A$15,"&lt;="&amp;A11)*入力!$B$16</f>
        <v/>
      </c>
      <c r="K11" s="12">
        <f>I11+J11</f>
        <v/>
      </c>
      <c r="L11" s="12">
        <f>K11*入力!$B$18</f>
        <v/>
      </c>
      <c r="M11" s="12">
        <f>K11-L11</f>
        <v/>
      </c>
      <c r="N11" s="12">
        <f>IF(OR(入力!$B$22="計上する",C11&gt;0),入力!$B$27,0)</f>
        <v/>
      </c>
      <c r="O11" s="12">
        <f>M11-N11</f>
        <v/>
      </c>
      <c r="P11" s="12">
        <f>IF(A11=1,O11,P10+O11)</f>
        <v/>
      </c>
    </row>
    <row r="12">
      <c r="A12" t="n">
        <v>9</v>
      </c>
      <c r="B12" s="12">
        <f>IF(A12=1,入力!$B$4,H11)</f>
        <v/>
      </c>
      <c r="C12" s="12">
        <f>MIN(入力!$B$24,B12)</f>
        <v/>
      </c>
      <c r="D12" s="12">
        <f>C12*(1-入力!$B$8)</f>
        <v/>
      </c>
      <c r="E12" s="12">
        <f>D12*入力!$B$9</f>
        <v/>
      </c>
      <c r="F12" s="12">
        <f>E12*入力!$B$10</f>
        <v/>
      </c>
      <c r="G12" s="12">
        <f>F12*入力!$B$11</f>
        <v/>
      </c>
      <c r="H12" s="12">
        <f>B12-C12</f>
        <v/>
      </c>
      <c r="I12" s="12">
        <f>G12*入力!$B$15</f>
        <v/>
      </c>
      <c r="J12" s="12">
        <f>SUMIFS($G$4:$G$15,$A$4:$A$15,"&gt;="&amp;A12-入力!$B$17+1,$A$4:$A$15,"&lt;="&amp;A12)*入力!$B$16</f>
        <v/>
      </c>
      <c r="K12" s="12">
        <f>I12+J12</f>
        <v/>
      </c>
      <c r="L12" s="12">
        <f>K12*入力!$B$18</f>
        <v/>
      </c>
      <c r="M12" s="12">
        <f>K12-L12</f>
        <v/>
      </c>
      <c r="N12" s="12">
        <f>IF(OR(入力!$B$22="計上する",C12&gt;0),入力!$B$27,0)</f>
        <v/>
      </c>
      <c r="O12" s="12">
        <f>M12-N12</f>
        <v/>
      </c>
      <c r="P12" s="12">
        <f>IF(A12=1,O12,P11+O12)</f>
        <v/>
      </c>
    </row>
    <row r="13">
      <c r="A13" t="n">
        <v>10</v>
      </c>
      <c r="B13" s="12">
        <f>IF(A13=1,入力!$B$4,H12)</f>
        <v/>
      </c>
      <c r="C13" s="12">
        <f>MIN(入力!$B$24,B13)</f>
        <v/>
      </c>
      <c r="D13" s="12">
        <f>C13*(1-入力!$B$8)</f>
        <v/>
      </c>
      <c r="E13" s="12">
        <f>D13*入力!$B$9</f>
        <v/>
      </c>
      <c r="F13" s="12">
        <f>E13*入力!$B$10</f>
        <v/>
      </c>
      <c r="G13" s="12">
        <f>F13*入力!$B$11</f>
        <v/>
      </c>
      <c r="H13" s="12">
        <f>B13-C13</f>
        <v/>
      </c>
      <c r="I13" s="12">
        <f>G13*入力!$B$15</f>
        <v/>
      </c>
      <c r="J13" s="12">
        <f>SUMIFS($G$4:$G$15,$A$4:$A$15,"&gt;="&amp;A13-入力!$B$17+1,$A$4:$A$15,"&lt;="&amp;A13)*入力!$B$16</f>
        <v/>
      </c>
      <c r="K13" s="12">
        <f>I13+J13</f>
        <v/>
      </c>
      <c r="L13" s="12">
        <f>K13*入力!$B$18</f>
        <v/>
      </c>
      <c r="M13" s="12">
        <f>K13-L13</f>
        <v/>
      </c>
      <c r="N13" s="12">
        <f>IF(OR(入力!$B$22="計上する",C13&gt;0),入力!$B$27,0)</f>
        <v/>
      </c>
      <c r="O13" s="12">
        <f>M13-N13</f>
        <v/>
      </c>
      <c r="P13" s="12">
        <f>IF(A13=1,O13,P12+O13)</f>
        <v/>
      </c>
    </row>
    <row r="14">
      <c r="A14" t="n">
        <v>11</v>
      </c>
      <c r="B14" s="12">
        <f>IF(A14=1,入力!$B$4,H13)</f>
        <v/>
      </c>
      <c r="C14" s="12">
        <f>MIN(入力!$B$24,B14)</f>
        <v/>
      </c>
      <c r="D14" s="12">
        <f>C14*(1-入力!$B$8)</f>
        <v/>
      </c>
      <c r="E14" s="12">
        <f>D14*入力!$B$9</f>
        <v/>
      </c>
      <c r="F14" s="12">
        <f>E14*入力!$B$10</f>
        <v/>
      </c>
      <c r="G14" s="12">
        <f>F14*入力!$B$11</f>
        <v/>
      </c>
      <c r="H14" s="12">
        <f>B14-C14</f>
        <v/>
      </c>
      <c r="I14" s="12">
        <f>G14*入力!$B$15</f>
        <v/>
      </c>
      <c r="J14" s="12">
        <f>SUMIFS($G$4:$G$15,$A$4:$A$15,"&gt;="&amp;A14-入力!$B$17+1,$A$4:$A$15,"&lt;="&amp;A14)*入力!$B$16</f>
        <v/>
      </c>
      <c r="K14" s="12">
        <f>I14+J14</f>
        <v/>
      </c>
      <c r="L14" s="12">
        <f>K14*入力!$B$18</f>
        <v/>
      </c>
      <c r="M14" s="12">
        <f>K14-L14</f>
        <v/>
      </c>
      <c r="N14" s="12">
        <f>IF(OR(入力!$B$22="計上する",C14&gt;0),入力!$B$27,0)</f>
        <v/>
      </c>
      <c r="O14" s="12">
        <f>M14-N14</f>
        <v/>
      </c>
      <c r="P14" s="12">
        <f>IF(A14=1,O14,P13+O14)</f>
        <v/>
      </c>
    </row>
    <row r="15">
      <c r="A15" t="n">
        <v>12</v>
      </c>
      <c r="B15" s="12">
        <f>IF(A15=1,入力!$B$4,H14)</f>
        <v/>
      </c>
      <c r="C15" s="12">
        <f>MIN(入力!$B$24,B15)</f>
        <v/>
      </c>
      <c r="D15" s="12">
        <f>C15*(1-入力!$B$8)</f>
        <v/>
      </c>
      <c r="E15" s="12">
        <f>D15*入力!$B$9</f>
        <v/>
      </c>
      <c r="F15" s="12">
        <f>E15*入力!$B$10</f>
        <v/>
      </c>
      <c r="G15" s="12">
        <f>F15*入力!$B$11</f>
        <v/>
      </c>
      <c r="H15" s="12">
        <f>B15-C15</f>
        <v/>
      </c>
      <c r="I15" s="12">
        <f>G15*入力!$B$15</f>
        <v/>
      </c>
      <c r="J15" s="12">
        <f>SUMIFS($G$4:$G$15,$A$4:$A$15,"&gt;="&amp;A15-入力!$B$17+1,$A$4:$A$15,"&lt;="&amp;A15)*入力!$B$16</f>
        <v/>
      </c>
      <c r="K15" s="12">
        <f>I15+J15</f>
        <v/>
      </c>
      <c r="L15" s="12">
        <f>K15*入力!$B$18</f>
        <v/>
      </c>
      <c r="M15" s="12">
        <f>K15-L15</f>
        <v/>
      </c>
      <c r="N15" s="12">
        <f>IF(OR(入力!$B$22="計上する",C15&gt;0),入力!$B$27,0)</f>
        <v/>
      </c>
      <c r="O15" s="12">
        <f>M15-N15</f>
        <v/>
      </c>
      <c r="P15" s="12">
        <f>IF(A15=1,O15,P14+O15)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1">
      <c r="A1" s="1" t="inlineStr">
        <is>
          <t>損益分岐</t>
        </is>
      </c>
    </row>
    <row r="2">
      <c r="A2" s="5" t="inlineStr">
        <is>
          <t>上の表は単価を入れなくても読めます。月次固定費と月あたり受注件数から、必要な単価が出ます。</t>
        </is>
      </c>
    </row>
    <row r="4">
      <c r="A4" s="2" t="inlineStr">
        <is>
          <t>必要単価の逆算（粗利率は入力シートの変動費率から算出）</t>
        </is>
      </c>
      <c r="B4" s="6" t="n"/>
      <c r="C4" s="6" t="n"/>
      <c r="D4" s="6" t="n"/>
      <c r="E4" s="6" t="n"/>
      <c r="F4" s="6" t="n"/>
      <c r="G4" s="6" t="n"/>
    </row>
    <row r="5">
      <c r="A5" s="4" t="inlineStr">
        <is>
          <t>月次固定費 \ 月間受注件数</t>
        </is>
      </c>
      <c r="B5" s="15" t="inlineStr">
        <is>
          <t>1件</t>
        </is>
      </c>
      <c r="C5" s="15" t="inlineStr">
        <is>
          <t>2件</t>
        </is>
      </c>
      <c r="D5" s="15" t="inlineStr">
        <is>
          <t>4件</t>
        </is>
      </c>
      <c r="E5" s="15" t="inlineStr">
        <is>
          <t>6件</t>
        </is>
      </c>
      <c r="F5" s="15" t="inlineStr">
        <is>
          <t>10件</t>
        </is>
      </c>
      <c r="G5" s="15" t="inlineStr">
        <is>
          <t>15件</t>
        </is>
      </c>
    </row>
    <row r="6">
      <c r="A6" s="16" t="n">
        <v>300000</v>
      </c>
      <c r="B6" s="12">
        <f>IFERROR($A6/(1*(1-入力!$B$18)),"変動費率を入力")</f>
        <v/>
      </c>
      <c r="C6" s="12">
        <f>IFERROR($A6/(2*(1-入力!$B$18)),"変動費率を入力")</f>
        <v/>
      </c>
      <c r="D6" s="12">
        <f>IFERROR($A6/(4*(1-入力!$B$18)),"変動費率を入力")</f>
        <v/>
      </c>
      <c r="E6" s="12">
        <f>IFERROR($A6/(6*(1-入力!$B$18)),"変動費率を入力")</f>
        <v/>
      </c>
      <c r="F6" s="12">
        <f>IFERROR($A6/(10*(1-入力!$B$18)),"変動費率を入力")</f>
        <v/>
      </c>
      <c r="G6" s="12">
        <f>IFERROR($A6/(15*(1-入力!$B$18)),"変動費率を入力")</f>
        <v/>
      </c>
    </row>
    <row r="7">
      <c r="A7" s="16" t="n">
        <v>600000</v>
      </c>
      <c r="B7" s="12">
        <f>IFERROR($A7/(1*(1-入力!$B$18)),"変動費率を入力")</f>
        <v/>
      </c>
      <c r="C7" s="12">
        <f>IFERROR($A7/(2*(1-入力!$B$18)),"変動費率を入力")</f>
        <v/>
      </c>
      <c r="D7" s="12">
        <f>IFERROR($A7/(4*(1-入力!$B$18)),"変動費率を入力")</f>
        <v/>
      </c>
      <c r="E7" s="12">
        <f>IFERROR($A7/(6*(1-入力!$B$18)),"変動費率を入力")</f>
        <v/>
      </c>
      <c r="F7" s="12">
        <f>IFERROR($A7/(10*(1-入力!$B$18)),"変動費率を入力")</f>
        <v/>
      </c>
      <c r="G7" s="12">
        <f>IFERROR($A7/(15*(1-入力!$B$18)),"変動費率を入力")</f>
        <v/>
      </c>
    </row>
    <row r="8">
      <c r="A8" s="16" t="n">
        <v>1000000</v>
      </c>
      <c r="B8" s="12">
        <f>IFERROR($A8/(1*(1-入力!$B$18)),"変動費率を入力")</f>
        <v/>
      </c>
      <c r="C8" s="12">
        <f>IFERROR($A8/(2*(1-入力!$B$18)),"変動費率を入力")</f>
        <v/>
      </c>
      <c r="D8" s="12">
        <f>IFERROR($A8/(4*(1-入力!$B$18)),"変動費率を入力")</f>
        <v/>
      </c>
      <c r="E8" s="12">
        <f>IFERROR($A8/(6*(1-入力!$B$18)),"変動費率を入力")</f>
        <v/>
      </c>
      <c r="F8" s="12">
        <f>IFERROR($A8/(10*(1-入力!$B$18)),"変動費率を入力")</f>
        <v/>
      </c>
      <c r="G8" s="12">
        <f>IFERROR($A8/(15*(1-入力!$B$18)),"変動費率を入力")</f>
        <v/>
      </c>
    </row>
    <row r="9">
      <c r="A9" s="16" t="n">
        <v>1500000</v>
      </c>
      <c r="B9" s="12">
        <f>IFERROR($A9/(1*(1-入力!$B$18)),"変動費率を入力")</f>
        <v/>
      </c>
      <c r="C9" s="12">
        <f>IFERROR($A9/(2*(1-入力!$B$18)),"変動費率を入力")</f>
        <v/>
      </c>
      <c r="D9" s="12">
        <f>IFERROR($A9/(4*(1-入力!$B$18)),"変動費率を入力")</f>
        <v/>
      </c>
      <c r="E9" s="12">
        <f>IFERROR($A9/(6*(1-入力!$B$18)),"変動費率を入力")</f>
        <v/>
      </c>
      <c r="F9" s="12">
        <f>IFERROR($A9/(10*(1-入力!$B$18)),"変動費率を入力")</f>
        <v/>
      </c>
      <c r="G9" s="12">
        <f>IFERROR($A9/(15*(1-入力!$B$18)),"変動費率を入力")</f>
        <v/>
      </c>
    </row>
    <row r="10">
      <c r="A10" s="16" t="n">
        <v>2000000</v>
      </c>
      <c r="B10" s="12">
        <f>IFERROR($A10/(1*(1-入力!$B$18)),"変動費率を入力")</f>
        <v/>
      </c>
      <c r="C10" s="12">
        <f>IFERROR($A10/(2*(1-入力!$B$18)),"変動費率を入力")</f>
        <v/>
      </c>
      <c r="D10" s="12">
        <f>IFERROR($A10/(4*(1-入力!$B$18)),"変動費率を入力")</f>
        <v/>
      </c>
      <c r="E10" s="12">
        <f>IFERROR($A10/(6*(1-入力!$B$18)),"変動費率を入力")</f>
        <v/>
      </c>
      <c r="F10" s="12">
        <f>IFERROR($A10/(10*(1-入力!$B$18)),"変動費率を入力")</f>
        <v/>
      </c>
      <c r="G10" s="12">
        <f>IFERROR($A10/(15*(1-入力!$B$18)),"変動費率を入力")</f>
        <v/>
      </c>
    </row>
    <row r="13">
      <c r="A13" s="2" t="inlineStr">
        <is>
          <t>実際の入力値での損益分岐</t>
        </is>
      </c>
      <c r="B13" s="6" t="n"/>
      <c r="C13" s="6" t="n"/>
      <c r="D13" s="6" t="n"/>
    </row>
    <row r="14">
      <c r="A14" s="4" t="inlineStr">
        <is>
          <t>1件あたり粗利</t>
        </is>
      </c>
      <c r="B14" s="12">
        <f>入力!$B$15*(1-入力!$B$18)+入力!$B$16*入力!$B$17*(1-入力!$B$18)</f>
        <v/>
      </c>
      <c r="C14" t="inlineStr">
        <is>
          <t>円</t>
        </is>
      </c>
    </row>
    <row r="15">
      <c r="A15" s="4" t="inlineStr">
        <is>
          <t>損益分岐に必要な月間受注件数</t>
        </is>
      </c>
      <c r="B15" s="12">
        <f>IFERROR(入力!$B$27/B14,"")</f>
        <v/>
      </c>
      <c r="C15" t="inlineStr">
        <is>
          <t>件</t>
        </is>
      </c>
    </row>
    <row r="16">
      <c r="A16" s="4" t="inlineStr">
        <is>
          <t>そのために必要な月間架電数</t>
        </is>
      </c>
      <c r="B16" s="12">
        <f>IFERROR(B15/入力!$B$25,"")</f>
        <v/>
      </c>
      <c r="C16" t="inlineStr">
        <is>
          <t>本</t>
        </is>
      </c>
    </row>
    <row r="17">
      <c r="A17" s="4" t="inlineStr">
        <is>
          <t>現在のキャパでの充足</t>
        </is>
      </c>
      <c r="B17" s="17">
        <f>IFERROR(入力!$B$24/B16,"")</f>
        <v/>
      </c>
      <c r="C17" t="inlineStr">
        <is>
          <t>倍</t>
        </is>
      </c>
      <c r="D17" s="8" t="inlineStr">
        <is>
          <t>1.0倍未満なら、今の人数では黒字化に届かない</t>
        </is>
      </c>
    </row>
    <row r="18">
      <c r="A18" s="4" t="inlineStr">
        <is>
          <t>リストが尽きるまでの月数</t>
        </is>
      </c>
      <c r="B18" s="17">
        <f>IFERROR(入力!$B$4/入力!$B$24,"")</f>
        <v/>
      </c>
      <c r="C18" t="inlineStr">
        <is>
          <t>ヶ月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8" customWidth="1" min="4" max="4"/>
    <col width="16" customWidth="1" min="5" max="5"/>
    <col width="42" customWidth="1" min="6" max="6"/>
  </cols>
  <sheetData>
    <row r="1">
      <c r="A1" s="1" t="inlineStr">
        <is>
          <t>在庫シナリオ</t>
        </is>
      </c>
    </row>
    <row r="2">
      <c r="A2" s="5" t="inlineStr">
        <is>
          <t>流入経路がゼロのため、売上はリスト在庫に上限が決まります。どこまで広げるかが最大の論点です。</t>
        </is>
      </c>
    </row>
    <row r="4">
      <c r="A4" s="2" t="inlineStr">
        <is>
          <t>広げ方</t>
        </is>
      </c>
      <c r="B4" s="2" t="inlineStr">
        <is>
          <t>件数</t>
        </is>
      </c>
      <c r="C4" s="2" t="inlineStr">
        <is>
          <t>枯渇まで(月)</t>
        </is>
      </c>
      <c r="D4" s="2" t="inlineStr">
        <is>
          <t>累計受注(目標値)</t>
        </is>
      </c>
      <c r="E4" s="2" t="inlineStr">
        <is>
          <t>累計売上</t>
        </is>
      </c>
      <c r="F4" s="2" t="inlineStr">
        <is>
          <t>内容</t>
        </is>
      </c>
    </row>
    <row r="5">
      <c r="A5" s="18" t="inlineStr">
        <is>
          <t>現行の最終リスト</t>
        </is>
      </c>
      <c r="B5" s="12" t="n">
        <v>1308</v>
      </c>
      <c r="C5" s="17">
        <f>IFERROR(B5/入力!$B$24,"")</f>
        <v/>
      </c>
      <c r="D5" s="12">
        <f>B5*入力!$B$25</f>
        <v/>
      </c>
      <c r="E5" s="12">
        <f>D5*(入力!$B$15+入力!$B$16*入力!$B$17)</f>
        <v/>
      </c>
      <c r="F5" s="8" t="inlineStr">
        <is>
          <t>民間×都内1事業所×独立系×全国1事業所</t>
        </is>
      </c>
    </row>
    <row r="6">
      <c r="A6" s="18" t="inlineStr">
        <is>
          <t>＋除外を戻す</t>
        </is>
      </c>
      <c r="B6" s="12" t="n">
        <v>1910</v>
      </c>
      <c r="C6" s="17">
        <f>IFERROR(B6/入力!$B$24,"")</f>
        <v/>
      </c>
      <c r="D6" s="12">
        <f>B6*入力!$B$25</f>
        <v/>
      </c>
      <c r="E6" s="12">
        <f>D6*(入力!$B$15+入力!$B$16*入力!$B$17)</f>
        <v/>
      </c>
      <c r="F6" s="8" t="inlineStr">
        <is>
          <t>併設・他県拠点・非営利を含める</t>
        </is>
      </c>
    </row>
    <row r="7">
      <c r="A7" s="18" t="inlineStr">
        <is>
          <t>＋東京の多数事業所</t>
        </is>
      </c>
      <c r="B7" s="12" t="n">
        <v>2893</v>
      </c>
      <c r="C7" s="17">
        <f>IFERROR(B7/入力!$B$24,"")</f>
        <v/>
      </c>
      <c r="D7" s="12">
        <f>B7*入力!$B$25</f>
        <v/>
      </c>
      <c r="E7" s="12">
        <f>D7*(入力!$B$15+入力!$B$16*入力!$B$17)</f>
        <v/>
      </c>
      <c r="F7" s="8" t="inlineStr">
        <is>
          <t>スイング側と合流。東京を全部使う</t>
        </is>
      </c>
    </row>
    <row r="8">
      <c r="A8" s="18" t="inlineStr">
        <is>
          <t>＋全国に広げる</t>
        </is>
      </c>
      <c r="B8" s="12" t="n">
        <v>36212</v>
      </c>
      <c r="C8" s="17">
        <f>IFERROR(B8/入力!$B$24,"")</f>
        <v/>
      </c>
      <c r="D8" s="12">
        <f>B8*入力!$B$25</f>
        <v/>
      </c>
      <c r="E8" s="12">
        <f>D8*(入力!$B$15+入力!$B$16*入力!$B$17)</f>
        <v/>
      </c>
      <c r="F8" s="8" t="inlineStr">
        <is>
          <t>同じ条件で全国。データは取得済み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2026-08-31T06:34:31Z</dcterms:created>
  <dcterms:modified xsi:type="dcterms:W3CDTF">2026-08-31T06:34:31Z</dcterms:modified>
</cp:coreProperties>
</file>